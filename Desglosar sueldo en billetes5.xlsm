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60" windowWidth="13980" windowHeight="9600"/>
  </bookViews>
  <sheets>
    <sheet name="Todos billetes" sheetId="1" r:id="rId1"/>
    <sheet name="Billetes 100 maximo" sheetId="3" r:id="rId2"/>
    <sheet name="Billetes 100 maximo (2)" sheetId="4" r:id="rId3"/>
  </sheets>
  <calcPr calcId="145621"/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3" i="4"/>
  <c r="E4" i="3"/>
  <c r="F4" i="3" s="1"/>
  <c r="G4" i="3" s="1"/>
  <c r="E5" i="3"/>
  <c r="E6" i="3"/>
  <c r="E7" i="3"/>
  <c r="F7" i="3" s="1"/>
  <c r="E8" i="3"/>
  <c r="E3" i="3"/>
  <c r="F3" i="3" s="1"/>
  <c r="C8" i="1"/>
  <c r="C7" i="1"/>
  <c r="D7" i="1" s="1"/>
  <c r="C3" i="1"/>
  <c r="D3" i="1" s="1"/>
  <c r="C4" i="1"/>
  <c r="D4" i="1" s="1"/>
  <c r="C5" i="1"/>
  <c r="C6" i="1"/>
  <c r="B27" i="1"/>
  <c r="F3" i="4" l="1"/>
  <c r="F5" i="4"/>
  <c r="F8" i="3"/>
  <c r="G8" i="3" s="1"/>
  <c r="F6" i="3"/>
  <c r="G6" i="3" s="1"/>
  <c r="F8" i="4"/>
  <c r="F4" i="4"/>
  <c r="G5" i="4"/>
  <c r="G7" i="3"/>
  <c r="F7" i="4"/>
  <c r="G3" i="4"/>
  <c r="G4" i="4"/>
  <c r="F6" i="4"/>
  <c r="G6" i="4" s="1"/>
  <c r="G7" i="4"/>
  <c r="G8" i="4"/>
  <c r="H8" i="4" s="1"/>
  <c r="E3" i="1"/>
  <c r="F3" i="1" s="1"/>
  <c r="G3" i="1" s="1"/>
  <c r="G5" i="3"/>
  <c r="H5" i="3" s="1"/>
  <c r="F5" i="3"/>
  <c r="G3" i="3"/>
  <c r="H3" i="3" s="1"/>
  <c r="I6" i="3"/>
  <c r="J6" i="3" s="1"/>
  <c r="H8" i="3"/>
  <c r="H6" i="3"/>
  <c r="H4" i="3"/>
  <c r="H7" i="3"/>
  <c r="D8" i="1"/>
  <c r="E8" i="1" s="1"/>
  <c r="E7" i="1"/>
  <c r="D6" i="1"/>
  <c r="E6" i="1" s="1"/>
  <c r="E4" i="1"/>
  <c r="C27" i="1"/>
  <c r="D5" i="1"/>
  <c r="J8" i="4" l="1"/>
  <c r="L8" i="4" s="1"/>
  <c r="M8" i="4" s="1"/>
  <c r="I8" i="4"/>
  <c r="K8" i="4"/>
  <c r="I7" i="4"/>
  <c r="H5" i="4"/>
  <c r="I5" i="4" s="1"/>
  <c r="H6" i="4"/>
  <c r="I3" i="4"/>
  <c r="H3" i="4"/>
  <c r="J3" i="4" s="1"/>
  <c r="I5" i="3"/>
  <c r="H7" i="4"/>
  <c r="J7" i="4" s="1"/>
  <c r="H4" i="4"/>
  <c r="I4" i="4" s="1"/>
  <c r="F6" i="1"/>
  <c r="H3" i="1"/>
  <c r="J5" i="3"/>
  <c r="K5" i="3" s="1"/>
  <c r="L6" i="3"/>
  <c r="K6" i="3"/>
  <c r="I7" i="3"/>
  <c r="I8" i="3"/>
  <c r="J7" i="3"/>
  <c r="I4" i="3"/>
  <c r="I3" i="3"/>
  <c r="F8" i="1"/>
  <c r="G8" i="1" s="1"/>
  <c r="F7" i="1"/>
  <c r="G6" i="1"/>
  <c r="D27" i="1"/>
  <c r="F4" i="1"/>
  <c r="G4" i="1" s="1"/>
  <c r="E5" i="1"/>
  <c r="K7" i="4" l="1"/>
  <c r="L3" i="4"/>
  <c r="L7" i="4"/>
  <c r="M7" i="4" s="1"/>
  <c r="J5" i="4"/>
  <c r="L5" i="4" s="1"/>
  <c r="M5" i="4" s="1"/>
  <c r="J4" i="4"/>
  <c r="K4" i="4" s="1"/>
  <c r="M3" i="4"/>
  <c r="K5" i="4"/>
  <c r="K3" i="4"/>
  <c r="I6" i="4"/>
  <c r="I3" i="1"/>
  <c r="L5" i="3"/>
  <c r="M5" i="3" s="1"/>
  <c r="J8" i="3"/>
  <c r="J4" i="3"/>
  <c r="M6" i="3"/>
  <c r="K7" i="3"/>
  <c r="L7" i="3" s="1"/>
  <c r="J3" i="3"/>
  <c r="H8" i="1"/>
  <c r="I8" i="1" s="1"/>
  <c r="G7" i="1"/>
  <c r="H7" i="1" s="1"/>
  <c r="H6" i="1"/>
  <c r="I6" i="1" s="1"/>
  <c r="E27" i="1"/>
  <c r="F5" i="1"/>
  <c r="F27" i="1" s="1"/>
  <c r="H4" i="1"/>
  <c r="L4" i="4" l="1"/>
  <c r="M4" i="4" s="1"/>
  <c r="J6" i="4"/>
  <c r="K6" i="4" s="1"/>
  <c r="J3" i="1"/>
  <c r="K3" i="1" s="1"/>
  <c r="K8" i="3"/>
  <c r="L8" i="3"/>
  <c r="M8" i="3" s="1"/>
  <c r="L4" i="3"/>
  <c r="M7" i="3"/>
  <c r="N7" i="3" s="1"/>
  <c r="O7" i="3" s="1"/>
  <c r="K4" i="3"/>
  <c r="N5" i="3"/>
  <c r="N6" i="3"/>
  <c r="O6" i="3" s="1"/>
  <c r="K3" i="3"/>
  <c r="L3" i="3" s="1"/>
  <c r="J8" i="1"/>
  <c r="K8" i="1" s="1"/>
  <c r="I7" i="1"/>
  <c r="J7" i="1" s="1"/>
  <c r="J6" i="1"/>
  <c r="K6" i="1" s="1"/>
  <c r="G5" i="1"/>
  <c r="H5" i="1" s="1"/>
  <c r="I4" i="1"/>
  <c r="O5" i="3" l="1"/>
  <c r="T5" i="3" s="1"/>
  <c r="L6" i="4"/>
  <c r="M6" i="4" s="1"/>
  <c r="L3" i="1"/>
  <c r="M3" i="1" s="1"/>
  <c r="N3" i="1" s="1"/>
  <c r="O3" i="1" s="1"/>
  <c r="P6" i="3"/>
  <c r="Q6" i="3" s="1"/>
  <c r="P5" i="3"/>
  <c r="Q5" i="3" s="1"/>
  <c r="M4" i="3"/>
  <c r="N4" i="3" s="1"/>
  <c r="O4" i="3" s="1"/>
  <c r="N8" i="3"/>
  <c r="O8" i="3" s="1"/>
  <c r="P7" i="3"/>
  <c r="Q7" i="3" s="1"/>
  <c r="M3" i="3"/>
  <c r="N3" i="3" s="1"/>
  <c r="O3" i="3" s="1"/>
  <c r="P3" i="3" s="1"/>
  <c r="Q3" i="3" s="1"/>
  <c r="L8" i="1"/>
  <c r="M8" i="1" s="1"/>
  <c r="K7" i="1"/>
  <c r="L7" i="1" s="1"/>
  <c r="M7" i="1" s="1"/>
  <c r="N7" i="1" s="1"/>
  <c r="O7" i="1" s="1"/>
  <c r="P7" i="1" s="1"/>
  <c r="Q7" i="1" s="1"/>
  <c r="R7" i="1" s="1"/>
  <c r="L6" i="1"/>
  <c r="M6" i="1" s="1"/>
  <c r="N6" i="1" s="1"/>
  <c r="J5" i="1"/>
  <c r="K5" i="1" s="1"/>
  <c r="I5" i="1"/>
  <c r="I27" i="1" s="1"/>
  <c r="G27" i="1"/>
  <c r="H27" i="1"/>
  <c r="J4" i="1"/>
  <c r="P8" i="3" l="1"/>
  <c r="T6" i="3"/>
  <c r="Q8" i="3"/>
  <c r="T3" i="3"/>
  <c r="T7" i="3"/>
  <c r="T8" i="3"/>
  <c r="P3" i="1"/>
  <c r="Q3" i="1" s="1"/>
  <c r="T4" i="4"/>
  <c r="P4" i="3"/>
  <c r="R8" i="3"/>
  <c r="R6" i="3"/>
  <c r="R5" i="3"/>
  <c r="R3" i="3"/>
  <c r="R7" i="3"/>
  <c r="N8" i="1"/>
  <c r="O8" i="1" s="1"/>
  <c r="P8" i="1" s="1"/>
  <c r="Q8" i="1" s="1"/>
  <c r="O6" i="1"/>
  <c r="P6" i="1" s="1"/>
  <c r="Q6" i="1" s="1"/>
  <c r="R6" i="1" s="1"/>
  <c r="J27" i="1"/>
  <c r="L5" i="1"/>
  <c r="K4" i="1"/>
  <c r="R3" i="1" l="1"/>
  <c r="T6" i="4"/>
  <c r="T3" i="4"/>
  <c r="T8" i="4"/>
  <c r="Q4" i="3"/>
  <c r="R4" i="3" s="1"/>
  <c r="R8" i="1"/>
  <c r="K27" i="1"/>
  <c r="M5" i="1"/>
  <c r="N5" i="1" s="1"/>
  <c r="O5" i="1" s="1"/>
  <c r="P5" i="1" s="1"/>
  <c r="L4" i="1"/>
  <c r="T4" i="3" l="1"/>
  <c r="Q5" i="1"/>
  <c r="R5" i="1" s="1"/>
  <c r="L27" i="1"/>
  <c r="M4" i="1"/>
  <c r="T5" i="4" l="1"/>
  <c r="T7" i="4"/>
  <c r="M27" i="1"/>
  <c r="N4" i="1"/>
  <c r="N27" i="1" l="1"/>
  <c r="O4" i="1"/>
  <c r="O27" i="1" l="1"/>
  <c r="P4" i="1"/>
  <c r="P27" i="1" l="1"/>
  <c r="Q4" i="1"/>
  <c r="Q27" i="1" l="1"/>
  <c r="R4" i="1"/>
  <c r="R27" i="1" s="1"/>
</calcChain>
</file>

<file path=xl/sharedStrings.xml><?xml version="1.0" encoding="utf-8"?>
<sst xmlns="http://schemas.openxmlformats.org/spreadsheetml/2006/main" count="31" uniqueCount="13">
  <si>
    <t>Importe</t>
  </si>
  <si>
    <t>Luisa</t>
  </si>
  <si>
    <t>Resto</t>
  </si>
  <si>
    <t>Total</t>
  </si>
  <si>
    <t>Trabajador</t>
  </si>
  <si>
    <t>Maripaz</t>
  </si>
  <si>
    <t>Encarnita</t>
  </si>
  <si>
    <t>Alberto</t>
  </si>
  <si>
    <t>BILLETES</t>
  </si>
  <si>
    <t>MONEDAS</t>
  </si>
  <si>
    <t>CENTIMOS</t>
  </si>
  <si>
    <t>Ana</t>
  </si>
  <si>
    <t>Miguel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</si>
</sst>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18"/>
      <name val="Arial"/>
    </font>
    <font>
      <b/>
      <sz val="10"/>
      <color indexed="18"/>
      <name val="Arial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indexed="1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</borders>
  <cellStyleXfs count="4">
    <xf numFmtId="0" fontId="0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1" applyNumberFormat="0" applyFont="0" applyAlignment="0" applyProtection="0"/>
  </cellStyleXfs>
  <cellXfs count="22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4" fontId="4" fillId="0" borderId="0" xfId="0" applyNumberFormat="1" applyFont="1"/>
    <xf numFmtId="3" fontId="4" fillId="0" borderId="0" xfId="0" applyNumberFormat="1" applyFont="1"/>
    <xf numFmtId="0" fontId="6" fillId="3" borderId="0" xfId="1" applyAlignment="1">
      <alignment horizontal="center"/>
    </xf>
    <xf numFmtId="0" fontId="7" fillId="4" borderId="0" xfId="2" applyAlignment="1">
      <alignment horizontal="center"/>
    </xf>
    <xf numFmtId="0" fontId="2" fillId="5" borderId="1" xfId="3" applyFont="1" applyAlignment="1">
      <alignment horizontal="center"/>
    </xf>
    <xf numFmtId="0" fontId="6" fillId="3" borderId="0" xfId="1" applyAlignment="1">
      <alignment horizontal="center"/>
    </xf>
    <xf numFmtId="0" fontId="7" fillId="4" borderId="0" xfId="2" applyAlignment="1">
      <alignment horizontal="center"/>
    </xf>
    <xf numFmtId="0" fontId="9" fillId="3" borderId="0" xfId="1" applyFont="1" applyAlignment="1">
      <alignment horizontal="center"/>
    </xf>
    <xf numFmtId="4" fontId="5" fillId="0" borderId="0" xfId="0" applyNumberFormat="1" applyFont="1" applyBorder="1"/>
    <xf numFmtId="0" fontId="2" fillId="5" borderId="3" xfId="3" applyFont="1" applyBorder="1" applyAlignment="1">
      <alignment horizontal="center"/>
    </xf>
    <xf numFmtId="0" fontId="4" fillId="0" borderId="2" xfId="0" applyFont="1" applyBorder="1"/>
    <xf numFmtId="4" fontId="4" fillId="0" borderId="2" xfId="0" applyNumberFormat="1" applyFont="1" applyBorder="1"/>
    <xf numFmtId="3" fontId="4" fillId="0" borderId="2" xfId="0" applyNumberFormat="1" applyFont="1" applyBorder="1"/>
    <xf numFmtId="0" fontId="10" fillId="4" borderId="0" xfId="2" applyFont="1" applyAlignment="1">
      <alignment horizontal="center"/>
    </xf>
    <xf numFmtId="0" fontId="11" fillId="0" borderId="0" xfId="0" applyFont="1" applyBorder="1"/>
    <xf numFmtId="4" fontId="11" fillId="0" borderId="0" xfId="0" applyNumberFormat="1" applyFont="1" applyBorder="1"/>
    <xf numFmtId="0" fontId="6" fillId="3" borderId="0" xfId="1" applyAlignment="1">
      <alignment horizontal="center"/>
    </xf>
    <xf numFmtId="0" fontId="7" fillId="4" borderId="0" xfId="2" applyAlignment="1">
      <alignment horizontal="center"/>
    </xf>
    <xf numFmtId="0" fontId="0" fillId="5" borderId="1" xfId="3" applyFont="1" applyAlignment="1">
      <alignment horizontal="center"/>
    </xf>
  </cellXfs>
  <cellStyles count="4">
    <cellStyle name="Buena" xfId="1" builtinId="26"/>
    <cellStyle name="Neutral" xfId="2" builtinId="28"/>
    <cellStyle name="Normal" xfId="0" builtinId="0"/>
    <cellStyle name="Notas" xfId="3" builtin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619125</xdr:colOff>
      <xdr:row>14</xdr:row>
      <xdr:rowOff>95250</xdr:rowOff>
    </xdr:from>
    <xdr:to>
      <xdr:col>4</xdr:col>
      <xdr:colOff>19050</xdr:colOff>
      <xdr:row>23</xdr:row>
      <xdr:rowOff>114300</xdr:rowOff>
    </xdr:to>
    <xdr:sp macro="" textlink="">
      <xdr:nvSpPr>
        <xdr:cNvPr id="2" name="1 Llamada con línea 1"/>
        <xdr:cNvSpPr/>
      </xdr:nvSpPr>
      <xdr:spPr>
        <a:xfrm>
          <a:off x="619125" y="2419350"/>
          <a:ext cx="1895475" cy="1476375"/>
        </a:xfrm>
        <a:prstGeom prst="borderCallout1">
          <a:avLst>
            <a:gd name="adj1" fmla="val 20685"/>
            <a:gd name="adj2" fmla="val 104230"/>
            <a:gd name="adj3" fmla="val -74597"/>
            <a:gd name="adj4" fmla="val 116441"/>
          </a:avLst>
        </a:prstGeom>
        <a:ln>
          <a:headEnd type="none" w="med" len="med"/>
          <a:tailEnd type="arrow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100"/>
            <a:t>Básicamente</a:t>
          </a:r>
          <a:r>
            <a:rPr lang="es-ES" sz="1100" baseline="0"/>
            <a:t> se usa sólo la función TRUNCAR para todo, donde dividimos el total entre el valor del billete, y esta función nos dá el numero entero que queda, sin decimales</a:t>
          </a:r>
          <a:endParaRPr lang="es-ES" sz="1100"/>
        </a:p>
      </xdr:txBody>
    </xdr:sp>
    <xdr:clientData/>
  </xdr:twoCellAnchor>
  <xdr:twoCellAnchor>
    <xdr:from>
      <xdr:col>8</xdr:col>
      <xdr:colOff>133350</xdr:colOff>
      <xdr:row>14</xdr:row>
      <xdr:rowOff>38100</xdr:rowOff>
    </xdr:from>
    <xdr:to>
      <xdr:col>12</xdr:col>
      <xdr:colOff>85725</xdr:colOff>
      <xdr:row>26</xdr:row>
      <xdr:rowOff>95250</xdr:rowOff>
    </xdr:to>
    <xdr:sp macro="" textlink="">
      <xdr:nvSpPr>
        <xdr:cNvPr id="3" name="2 Llamada con línea 1"/>
        <xdr:cNvSpPr/>
      </xdr:nvSpPr>
      <xdr:spPr>
        <a:xfrm>
          <a:off x="4572000" y="2362200"/>
          <a:ext cx="1895475" cy="2000250"/>
        </a:xfrm>
        <a:prstGeom prst="borderCallout1">
          <a:avLst>
            <a:gd name="adj1" fmla="val 31653"/>
            <a:gd name="adj2" fmla="val -3810"/>
            <a:gd name="adj3" fmla="val -63430"/>
            <a:gd name="adj4" fmla="val -66474"/>
          </a:avLst>
        </a:prstGeom>
        <a:ln>
          <a:headEnd type="none" w="med" len="med"/>
          <a:tailEnd type="arrow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100"/>
            <a:t>Aqui también usamos TRUNCAR, pero tenemos que restar lo que ya hemos pagado con los billetes</a:t>
          </a:r>
          <a:r>
            <a:rPr lang="es-ES" sz="1100" baseline="0"/>
            <a:t> anteriores, eso lo hace la función SUMAPRODUCTO y redondeamos toda la operación con la función RENDODEAR para que no use más de 5 decimales</a:t>
          </a:r>
          <a:endParaRPr lang="es-ES" sz="1100"/>
        </a:p>
      </xdr:txBody>
    </xdr:sp>
    <xdr:clientData/>
  </xdr:twoCellAnchor>
  <xdr:twoCellAnchor>
    <xdr:from>
      <xdr:col>14</xdr:col>
      <xdr:colOff>171450</xdr:colOff>
      <xdr:row>10</xdr:row>
      <xdr:rowOff>28576</xdr:rowOff>
    </xdr:from>
    <xdr:to>
      <xdr:col>21</xdr:col>
      <xdr:colOff>419100</xdr:colOff>
      <xdr:row>12</xdr:row>
      <xdr:rowOff>104776</xdr:rowOff>
    </xdr:to>
    <xdr:sp macro="" textlink="">
      <xdr:nvSpPr>
        <xdr:cNvPr id="4" name="3 Llamada con línea 2"/>
        <xdr:cNvSpPr/>
      </xdr:nvSpPr>
      <xdr:spPr>
        <a:xfrm>
          <a:off x="7524750" y="1704976"/>
          <a:ext cx="4476750" cy="40005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296262"/>
            <a:gd name="adj6" fmla="val -81348"/>
          </a:avLst>
        </a:prstGeom>
        <a:ln>
          <a:headEnd type="none" w="med" len="med"/>
          <a:tailEnd type="arrow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100"/>
            <a:t>TRUNCAR(REDONDEAR(($B3-SUMAPRODUCTO($E3:F3*$E$2:F$2))/G$2;5))</a:t>
          </a:r>
        </a:p>
      </xdr:txBody>
    </xdr:sp>
    <xdr:clientData/>
  </xdr:twoCellAnchor>
  <xdr:twoCellAnchor>
    <xdr:from>
      <xdr:col>20</xdr:col>
      <xdr:colOff>219075</xdr:colOff>
      <xdr:row>16</xdr:row>
      <xdr:rowOff>9526</xdr:rowOff>
    </xdr:from>
    <xdr:to>
      <xdr:col>21</xdr:col>
      <xdr:colOff>571500</xdr:colOff>
      <xdr:row>20</xdr:row>
      <xdr:rowOff>19050</xdr:rowOff>
    </xdr:to>
    <xdr:sp macro="" textlink="">
      <xdr:nvSpPr>
        <xdr:cNvPr id="5" name="4 Llamada con línea 1"/>
        <xdr:cNvSpPr/>
      </xdr:nvSpPr>
      <xdr:spPr>
        <a:xfrm>
          <a:off x="11039475" y="2657476"/>
          <a:ext cx="1114425" cy="657224"/>
        </a:xfrm>
        <a:prstGeom prst="borderCallout1">
          <a:avLst>
            <a:gd name="adj1" fmla="val -14583"/>
            <a:gd name="adj2" fmla="val 58616"/>
            <a:gd name="adj3" fmla="val -114561"/>
            <a:gd name="adj4" fmla="val 48094"/>
          </a:avLst>
        </a:prstGeom>
        <a:ln>
          <a:headEnd type="none" w="med" len="med"/>
          <a:tailEnd type="triangl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100"/>
            <a:t>Tipo de billete, en este caso el</a:t>
          </a:r>
          <a:r>
            <a:rPr lang="es-ES" sz="1100" baseline="0"/>
            <a:t> de 20€</a:t>
          </a:r>
          <a:endParaRPr lang="es-ES" sz="1100"/>
        </a:p>
      </xdr:txBody>
    </xdr:sp>
    <xdr:clientData/>
  </xdr:twoCellAnchor>
  <xdr:twoCellAnchor>
    <xdr:from>
      <xdr:col>17</xdr:col>
      <xdr:colOff>323850</xdr:colOff>
      <xdr:row>16</xdr:row>
      <xdr:rowOff>19049</xdr:rowOff>
    </xdr:from>
    <xdr:to>
      <xdr:col>20</xdr:col>
      <xdr:colOff>123825</xdr:colOff>
      <xdr:row>20</xdr:row>
      <xdr:rowOff>9525</xdr:rowOff>
    </xdr:to>
    <xdr:sp macro="" textlink="">
      <xdr:nvSpPr>
        <xdr:cNvPr id="6" name="5 Llamada con línea 1"/>
        <xdr:cNvSpPr/>
      </xdr:nvSpPr>
      <xdr:spPr>
        <a:xfrm>
          <a:off x="9134475" y="2666999"/>
          <a:ext cx="1809750" cy="638176"/>
        </a:xfrm>
        <a:prstGeom prst="borderCallout1">
          <a:avLst>
            <a:gd name="adj1" fmla="val -14583"/>
            <a:gd name="adj2" fmla="val 58616"/>
            <a:gd name="adj3" fmla="val -45626"/>
            <a:gd name="adj4" fmla="val 66388"/>
          </a:avLst>
        </a:prstGeom>
        <a:ln>
          <a:headEnd type="none" w="med" len="med"/>
          <a:tailEnd type="triangl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100"/>
            <a:t>Producto y suma de los billetes más</a:t>
          </a:r>
          <a:r>
            <a:rPr lang="es-ES" sz="1100" baseline="0"/>
            <a:t> grandes desde 100 a 50</a:t>
          </a:r>
          <a:endParaRPr lang="es-ES" sz="1100"/>
        </a:p>
      </xdr:txBody>
    </xdr:sp>
    <xdr:clientData/>
  </xdr:twoCellAnchor>
  <xdr:twoCellAnchor>
    <xdr:from>
      <xdr:col>18</xdr:col>
      <xdr:colOff>42864</xdr:colOff>
      <xdr:row>11</xdr:row>
      <xdr:rowOff>147637</xdr:rowOff>
    </xdr:from>
    <xdr:to>
      <xdr:col>20</xdr:col>
      <xdr:colOff>609600</xdr:colOff>
      <xdr:row>14</xdr:row>
      <xdr:rowOff>42862</xdr:rowOff>
    </xdr:to>
    <xdr:sp macro="" textlink="">
      <xdr:nvSpPr>
        <xdr:cNvPr id="7" name="6 Abrir llave"/>
        <xdr:cNvSpPr/>
      </xdr:nvSpPr>
      <xdr:spPr>
        <a:xfrm rot="16200000">
          <a:off x="10194132" y="1131094"/>
          <a:ext cx="381000" cy="2090736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17</xdr:col>
      <xdr:colOff>247650</xdr:colOff>
      <xdr:row>20</xdr:row>
      <xdr:rowOff>38100</xdr:rowOff>
    </xdr:from>
    <xdr:to>
      <xdr:col>21</xdr:col>
      <xdr:colOff>676275</xdr:colOff>
      <xdr:row>22</xdr:row>
      <xdr:rowOff>95250</xdr:rowOff>
    </xdr:to>
    <xdr:sp macro="" textlink="">
      <xdr:nvSpPr>
        <xdr:cNvPr id="8" name="7 Abrir llave"/>
        <xdr:cNvSpPr/>
      </xdr:nvSpPr>
      <xdr:spPr>
        <a:xfrm rot="16200000">
          <a:off x="10467975" y="1924050"/>
          <a:ext cx="381000" cy="3200400"/>
        </a:xfrm>
        <a:prstGeom prst="leftBrace">
          <a:avLst/>
        </a:prstGeom>
        <a:ln w="1905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15</xdr:col>
      <xdr:colOff>66675</xdr:colOff>
      <xdr:row>23</xdr:row>
      <xdr:rowOff>142875</xdr:rowOff>
    </xdr:from>
    <xdr:to>
      <xdr:col>17</xdr:col>
      <xdr:colOff>219075</xdr:colOff>
      <xdr:row>26</xdr:row>
      <xdr:rowOff>0</xdr:rowOff>
    </xdr:to>
    <xdr:sp macro="" textlink="">
      <xdr:nvSpPr>
        <xdr:cNvPr id="10" name="9 Llamada con línea 1"/>
        <xdr:cNvSpPr/>
      </xdr:nvSpPr>
      <xdr:spPr>
        <a:xfrm>
          <a:off x="7905750" y="3924300"/>
          <a:ext cx="1123950" cy="342900"/>
        </a:xfrm>
        <a:prstGeom prst="borderCallout1">
          <a:avLst>
            <a:gd name="adj1" fmla="val -14583"/>
            <a:gd name="adj2" fmla="val 58616"/>
            <a:gd name="adj3" fmla="val -551389"/>
            <a:gd name="adj4" fmla="val 111667"/>
          </a:avLst>
        </a:prstGeom>
        <a:ln>
          <a:headEnd type="none" w="med" len="med"/>
          <a:tailEnd type="triangl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100"/>
            <a:t>Total importe</a:t>
          </a:r>
        </a:p>
      </xdr:txBody>
    </xdr:sp>
    <xdr:clientData/>
  </xdr:twoCellAnchor>
  <xdr:twoCellAnchor>
    <xdr:from>
      <xdr:col>18</xdr:col>
      <xdr:colOff>209550</xdr:colOff>
      <xdr:row>23</xdr:row>
      <xdr:rowOff>85725</xdr:rowOff>
    </xdr:from>
    <xdr:to>
      <xdr:col>21</xdr:col>
      <xdr:colOff>333375</xdr:colOff>
      <xdr:row>26</xdr:row>
      <xdr:rowOff>152400</xdr:rowOff>
    </xdr:to>
    <xdr:sp macro="" textlink="">
      <xdr:nvSpPr>
        <xdr:cNvPr id="11" name="10 Rectángulo"/>
        <xdr:cNvSpPr/>
      </xdr:nvSpPr>
      <xdr:spPr>
        <a:xfrm>
          <a:off x="9505950" y="3867150"/>
          <a:ext cx="2409825" cy="552450"/>
        </a:xfrm>
        <a:prstGeom prst="rect">
          <a:avLst/>
        </a:prstGeom>
        <a:ln>
          <a:headEnd type="none" w="med" len="med"/>
          <a:tailEnd type="triangl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100"/>
            <a:t>Le</a:t>
          </a:r>
          <a:r>
            <a:rPr lang="es-ES" sz="1100" baseline="0"/>
            <a:t> restamos al "total importe" lo que nos ha salido de dividir lo anterior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619125</xdr:colOff>
      <xdr:row>14</xdr:row>
      <xdr:rowOff>95250</xdr:rowOff>
    </xdr:from>
    <xdr:to>
      <xdr:col>4</xdr:col>
      <xdr:colOff>19050</xdr:colOff>
      <xdr:row>23</xdr:row>
      <xdr:rowOff>114300</xdr:rowOff>
    </xdr:to>
    <xdr:sp macro="" textlink="">
      <xdr:nvSpPr>
        <xdr:cNvPr id="2" name="1 Llamada con línea 1"/>
        <xdr:cNvSpPr/>
      </xdr:nvSpPr>
      <xdr:spPr>
        <a:xfrm>
          <a:off x="619125" y="2419350"/>
          <a:ext cx="1895475" cy="1476375"/>
        </a:xfrm>
        <a:prstGeom prst="borderCallout1">
          <a:avLst>
            <a:gd name="adj1" fmla="val 20685"/>
            <a:gd name="adj2" fmla="val 104230"/>
            <a:gd name="adj3" fmla="val -74597"/>
            <a:gd name="adj4" fmla="val 116441"/>
          </a:avLst>
        </a:prstGeom>
        <a:ln>
          <a:headEnd type="none" w="med" len="med"/>
          <a:tailEnd type="arrow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100"/>
            <a:t>Otra forma</a:t>
          </a:r>
          <a:r>
            <a:rPr lang="es-ES" sz="1100" baseline="0"/>
            <a:t> de hacerlo, usamos sólo la función ENTERO, que es casi identica a TRUCAR y restamos la cantidad de billetes grandes que ya hemos pagado antes</a:t>
          </a:r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27"/>
  <sheetViews>
    <sheetView tabSelected="1" workbookViewId="0">
      <pane ySplit="2" topLeftCell="A3" activePane="bottomLeft" state="frozen"/>
      <selection pane="bottomLeft" activeCell="D17" sqref="D17"/>
    </sheetView>
  </sheetViews>
  <sheetFormatPr baseColWidth="10" defaultRowHeight="12.75" x14ac:dyDescent="0.2"/>
  <cols>
    <col min="1" max="1" width="11.85546875" bestFit="1" customWidth="1"/>
    <col min="3" max="4" width="7" bestFit="1" customWidth="1"/>
    <col min="5" max="5" width="7.5703125" bestFit="1" customWidth="1"/>
    <col min="6" max="6" width="7" bestFit="1" customWidth="1"/>
    <col min="7" max="7" width="5" bestFit="1" customWidth="1"/>
    <col min="8" max="8" width="4" bestFit="1" customWidth="1"/>
    <col min="9" max="10" width="5" bestFit="1" customWidth="1"/>
    <col min="11" max="11" width="6" bestFit="1" customWidth="1"/>
    <col min="12" max="16" width="6" customWidth="1"/>
    <col min="17" max="17" width="5" bestFit="1" customWidth="1"/>
    <col min="18" max="18" width="6.140625" bestFit="1" customWidth="1"/>
  </cols>
  <sheetData>
    <row r="1" spans="1:18" ht="15" x14ac:dyDescent="0.25">
      <c r="C1" s="19" t="s">
        <v>8</v>
      </c>
      <c r="D1" s="19"/>
      <c r="E1" s="19"/>
      <c r="F1" s="19"/>
      <c r="G1" s="19"/>
      <c r="H1" s="19"/>
      <c r="I1" s="19"/>
      <c r="J1" s="20" t="s">
        <v>9</v>
      </c>
      <c r="K1" s="20"/>
      <c r="L1" s="21" t="s">
        <v>10</v>
      </c>
      <c r="M1" s="21"/>
      <c r="N1" s="21"/>
      <c r="O1" s="21"/>
      <c r="P1" s="21"/>
      <c r="Q1" s="21"/>
    </row>
    <row r="2" spans="1:18" ht="15" x14ac:dyDescent="0.25">
      <c r="A2" s="1" t="s">
        <v>4</v>
      </c>
      <c r="B2" s="1" t="s">
        <v>0</v>
      </c>
      <c r="C2" s="8">
        <v>500</v>
      </c>
      <c r="D2" s="8">
        <v>200</v>
      </c>
      <c r="E2" s="8">
        <v>100</v>
      </c>
      <c r="F2" s="8">
        <v>50</v>
      </c>
      <c r="G2" s="8">
        <v>20</v>
      </c>
      <c r="H2" s="8">
        <v>10</v>
      </c>
      <c r="I2" s="8">
        <v>5</v>
      </c>
      <c r="J2" s="9">
        <v>2</v>
      </c>
      <c r="K2" s="9">
        <v>1</v>
      </c>
      <c r="L2" s="7">
        <v>0.5</v>
      </c>
      <c r="M2" s="7">
        <v>0.2</v>
      </c>
      <c r="N2" s="7">
        <v>0.1</v>
      </c>
      <c r="O2" s="7">
        <v>0.05</v>
      </c>
      <c r="P2" s="7">
        <v>0.02</v>
      </c>
      <c r="Q2" s="7">
        <v>0.01</v>
      </c>
      <c r="R2" s="1" t="s">
        <v>2</v>
      </c>
    </row>
    <row r="3" spans="1:18" x14ac:dyDescent="0.2">
      <c r="A3" s="2" t="s">
        <v>11</v>
      </c>
      <c r="B3" s="3">
        <v>13513.98</v>
      </c>
      <c r="C3" s="4">
        <f t="shared" ref="C3:C8" si="0">TRUNC($B3/C$2)</f>
        <v>27</v>
      </c>
      <c r="D3" s="4">
        <f>TRUNC(ROUND(($B3-SUMPRODUCT($C3:C3*$C$2:C$2))/D$2,5))</f>
        <v>0</v>
      </c>
      <c r="E3" s="4">
        <f>TRUNC(ROUND(($B3-SUMPRODUCT($C3:D3*$C$2:D$2))/E$2,5))</f>
        <v>0</v>
      </c>
      <c r="F3" s="4">
        <f>TRUNC(ROUND(($B3-SUMPRODUCT($C3:E3*$C$2:E$2))/F$2,5))</f>
        <v>0</v>
      </c>
      <c r="G3" s="4">
        <f>TRUNC(ROUND(($B3-SUMPRODUCT($C3:F3*$C$2:F$2))/G$2,5))</f>
        <v>0</v>
      </c>
      <c r="H3" s="4">
        <f>TRUNC(ROUND(($B3-SUMPRODUCT($C3:G3*$C$2:G$2))/H$2,5))</f>
        <v>1</v>
      </c>
      <c r="I3" s="4">
        <f>TRUNC(ROUND(($B3-SUMPRODUCT($C3:H3*$C$2:H$2))/I$2,5))</f>
        <v>0</v>
      </c>
      <c r="J3" s="4">
        <f>TRUNC(ROUND(($B3-SUMPRODUCT($C3:I3*$C$2:I$2))/J$2,5))</f>
        <v>1</v>
      </c>
      <c r="K3" s="4">
        <f>TRUNC(ROUND(($B3-SUMPRODUCT($C3:J3*$C$2:J$2))/K$2,5))</f>
        <v>1</v>
      </c>
      <c r="L3" s="4">
        <f>TRUNC(ROUND(($B3-SUMPRODUCT($C3:K3*$C$2:K$2))/L$2,5))</f>
        <v>1</v>
      </c>
      <c r="M3" s="4">
        <f>TRUNC(ROUND(($B3-SUMPRODUCT($C3:L3*$C$2:L$2))/M$2,5))</f>
        <v>2</v>
      </c>
      <c r="N3" s="4">
        <f>TRUNC(ROUND(($B3-SUMPRODUCT($C3:M3*$C$2:M$2))/N$2,5))</f>
        <v>0</v>
      </c>
      <c r="O3" s="4">
        <f>TRUNC(ROUND(($B3-SUMPRODUCT($C3:N3*$C$2:N$2))/O$2,5))</f>
        <v>1</v>
      </c>
      <c r="P3" s="4">
        <f>TRUNC(ROUND(($B3-SUMPRODUCT($C3:O3*$C$2:O$2))/P$2,5))</f>
        <v>1</v>
      </c>
      <c r="Q3" s="4">
        <f>TRUNC(ROUND(($B3-SUMPRODUCT($C3:P3*$C$2:P$2))/Q$2,5))</f>
        <v>1</v>
      </c>
      <c r="R3" s="3">
        <f>$B3-SUMPRODUCT($C3:Q3*$C$2:Q$2)</f>
        <v>0</v>
      </c>
    </row>
    <row r="4" spans="1:18" x14ac:dyDescent="0.2">
      <c r="A4" s="2" t="s">
        <v>12</v>
      </c>
      <c r="B4" s="3">
        <v>7893</v>
      </c>
      <c r="C4" s="4">
        <f t="shared" si="0"/>
        <v>15</v>
      </c>
      <c r="D4" s="4">
        <f>TRUNC(ROUND(($B4-SUMPRODUCT($C4:C4*$C$2:C$2))/D$2,5))</f>
        <v>1</v>
      </c>
      <c r="E4" s="4">
        <f>TRUNC(ROUND(($B4-SUMPRODUCT($C4:D4*$C$2:D$2))/E$2,5))</f>
        <v>1</v>
      </c>
      <c r="F4" s="4">
        <f>TRUNC(ROUND(($B4-SUMPRODUCT($C4:E4*$C$2:E$2))/F$2,5))</f>
        <v>1</v>
      </c>
      <c r="G4" s="4">
        <f>TRUNC(ROUND(($B4-SUMPRODUCT($C4:F4*$C$2:F$2))/G$2,5))</f>
        <v>2</v>
      </c>
      <c r="H4" s="4">
        <f>TRUNC(ROUND(($B4-SUMPRODUCT($C4:G4*$C$2:G$2))/H$2,5))</f>
        <v>0</v>
      </c>
      <c r="I4" s="4">
        <f>TRUNC(ROUND(($B4-SUMPRODUCT($C4:H4*$C$2:H$2))/I$2,5))</f>
        <v>0</v>
      </c>
      <c r="J4" s="4">
        <f>TRUNC(ROUND(($B4-SUMPRODUCT($C4:I4*$C$2:I$2))/J$2,5))</f>
        <v>1</v>
      </c>
      <c r="K4" s="4">
        <f>TRUNC(ROUND(($B4-SUMPRODUCT($C4:J4*$C$2:J$2))/K$2,5))</f>
        <v>1</v>
      </c>
      <c r="L4" s="4">
        <f>TRUNC(ROUND(($B4-SUMPRODUCT($C4:K4*$C$2:K$2))/L$2,5))</f>
        <v>0</v>
      </c>
      <c r="M4" s="4">
        <f>TRUNC(ROUND(($B4-SUMPRODUCT($C4:L4*$C$2:L$2))/M$2,5))</f>
        <v>0</v>
      </c>
      <c r="N4" s="4">
        <f>TRUNC(ROUND(($B4-SUMPRODUCT($C4:M4*$C$2:M$2))/N$2,5))</f>
        <v>0</v>
      </c>
      <c r="O4" s="4">
        <f>TRUNC(ROUND(($B4-SUMPRODUCT($C4:N4*$C$2:N$2))/O$2,5))</f>
        <v>0</v>
      </c>
      <c r="P4" s="4">
        <f>TRUNC(ROUND(($B4-SUMPRODUCT($C4:O4*$C$2:O$2))/P$2,5))</f>
        <v>0</v>
      </c>
      <c r="Q4" s="4">
        <f>TRUNC(ROUND(($B4-SUMPRODUCT($C4:P4*$C$2:P$2))/Q$2,5))</f>
        <v>0</v>
      </c>
      <c r="R4" s="3">
        <f>$B4-SUMPRODUCT($C4:Q4*$C$2:Q$2)</f>
        <v>0</v>
      </c>
    </row>
    <row r="5" spans="1:18" x14ac:dyDescent="0.2">
      <c r="A5" s="2" t="s">
        <v>7</v>
      </c>
      <c r="B5" s="3">
        <v>5498.45</v>
      </c>
      <c r="C5" s="4">
        <f t="shared" si="0"/>
        <v>10</v>
      </c>
      <c r="D5" s="4">
        <f>TRUNC(ROUND(($B5-SUMPRODUCT($C5:C5*$C$2:C$2))/D$2,5))</f>
        <v>2</v>
      </c>
      <c r="E5" s="4">
        <f>TRUNC(ROUND(($B5-SUMPRODUCT($C5:D5*$C$2:D$2))/E$2,5))</f>
        <v>0</v>
      </c>
      <c r="F5" s="4">
        <f>TRUNC(ROUND(($B5-SUMPRODUCT($C5:E5*$C$2:E$2))/F$2,5))</f>
        <v>1</v>
      </c>
      <c r="G5" s="4">
        <f>TRUNC(ROUND(($B5-SUMPRODUCT($C5:F5*$C$2:F$2))/G$2,5))</f>
        <v>2</v>
      </c>
      <c r="H5" s="4">
        <f>TRUNC(ROUND(($B5-SUMPRODUCT($C5:G5*$C$2:G$2))/H$2,5))</f>
        <v>0</v>
      </c>
      <c r="I5" s="4">
        <f>TRUNC(ROUND(($B5-SUMPRODUCT($C5:H5*$C$2:H$2))/I$2,5))</f>
        <v>1</v>
      </c>
      <c r="J5" s="4">
        <f>TRUNC(ROUND(($B5-SUMPRODUCT($C5:I5*$C$2:I$2))/J$2,5))</f>
        <v>1</v>
      </c>
      <c r="K5" s="4">
        <f>TRUNC(ROUND(($B5-SUMPRODUCT($C5:J5*$C$2:J$2))/K$2,5))</f>
        <v>1</v>
      </c>
      <c r="L5" s="4">
        <f>TRUNC(ROUND(($B5-SUMPRODUCT($C5:K5*$C$2:K$2))/L$2,5))</f>
        <v>0</v>
      </c>
      <c r="M5" s="4">
        <f>TRUNC(ROUND(($B5-SUMPRODUCT($C5:L5*$C$2:L$2))/M$2,5))</f>
        <v>2</v>
      </c>
      <c r="N5" s="4">
        <f>TRUNC(ROUND(($B5-SUMPRODUCT($C5:M5*$C$2:M$2))/N$2,5))</f>
        <v>0</v>
      </c>
      <c r="O5" s="4">
        <f>TRUNC(ROUND(($B5-SUMPRODUCT($C5:N5*$C$2:N$2))/O$2,5))</f>
        <v>1</v>
      </c>
      <c r="P5" s="4">
        <f>TRUNC(ROUND(($B5-SUMPRODUCT($C5:O5*$C$2:O$2))/P$2,5))</f>
        <v>0</v>
      </c>
      <c r="Q5" s="4">
        <f>TRUNC(ROUND(($B5-SUMPRODUCT($C5:P5*$C$2:P$2))/Q$2,5))</f>
        <v>0</v>
      </c>
      <c r="R5" s="3">
        <f>$B5-SUMPRODUCT($C5:Q5*$C$2:Q$2)</f>
        <v>0</v>
      </c>
    </row>
    <row r="6" spans="1:18" x14ac:dyDescent="0.2">
      <c r="A6" s="2" t="s">
        <v>1</v>
      </c>
      <c r="B6" s="3">
        <v>315</v>
      </c>
      <c r="C6" s="4">
        <f t="shared" si="0"/>
        <v>0</v>
      </c>
      <c r="D6" s="4">
        <f>TRUNC(ROUND(($B6-SUMPRODUCT($C6:C6*$C$2:C$2))/D$2,5))</f>
        <v>1</v>
      </c>
      <c r="E6" s="4">
        <f>TRUNC(ROUND(($B6-SUMPRODUCT($C6:D6*$C$2:D$2))/E$2,5))</f>
        <v>1</v>
      </c>
      <c r="F6" s="4">
        <f>TRUNC(ROUND(($B6-SUMPRODUCT($C6:E6*$C$2:E$2))/F$2,5))</f>
        <v>0</v>
      </c>
      <c r="G6" s="4">
        <f>TRUNC(ROUND(($B6-SUMPRODUCT($C6:F6*$C$2:F$2))/G$2,5))</f>
        <v>0</v>
      </c>
      <c r="H6" s="4">
        <f>TRUNC(ROUND(($B6-SUMPRODUCT($C6:G6*$C$2:G$2))/H$2,5))</f>
        <v>1</v>
      </c>
      <c r="I6" s="4">
        <f>TRUNC(ROUND(($B6-SUMPRODUCT($C6:H6*$C$2:H$2))/I$2,5))</f>
        <v>1</v>
      </c>
      <c r="J6" s="4">
        <f>TRUNC(ROUND(($B6-SUMPRODUCT($C6:I6*$C$2:I$2))/J$2,5))</f>
        <v>0</v>
      </c>
      <c r="K6" s="4">
        <f>TRUNC(ROUND(($B6-SUMPRODUCT($C6:J6*$C$2:J$2))/K$2,5))</f>
        <v>0</v>
      </c>
      <c r="L6" s="4">
        <f>TRUNC(ROUND(($B6-SUMPRODUCT($C6:K6*$C$2:K$2))/L$2,5))</f>
        <v>0</v>
      </c>
      <c r="M6" s="4">
        <f>TRUNC(ROUND(($B6-SUMPRODUCT($C6:L6*$C$2:L$2))/M$2,5))</f>
        <v>0</v>
      </c>
      <c r="N6" s="4">
        <f>TRUNC(ROUND(($B6-SUMPRODUCT($C6:M6*$C$2:M$2))/N$2,5))</f>
        <v>0</v>
      </c>
      <c r="O6" s="4">
        <f>TRUNC(ROUND(($B6-SUMPRODUCT($C6:N6*$C$2:N$2))/O$2,5))</f>
        <v>0</v>
      </c>
      <c r="P6" s="4">
        <f>TRUNC(ROUND(($B6-SUMPRODUCT($C6:O6*$C$2:O$2))/P$2,5))</f>
        <v>0</v>
      </c>
      <c r="Q6" s="4">
        <f>TRUNC(ROUND(($B6-SUMPRODUCT($C6:P6*$C$2:P$2))/Q$2,5))</f>
        <v>0</v>
      </c>
      <c r="R6" s="3">
        <f>$B6-SUMPRODUCT($C6:Q6*$C$2:Q$2)</f>
        <v>0</v>
      </c>
    </row>
    <row r="7" spans="1:18" x14ac:dyDescent="0.2">
      <c r="A7" s="2"/>
      <c r="B7" s="3">
        <v>0</v>
      </c>
      <c r="C7" s="4">
        <f t="shared" si="0"/>
        <v>0</v>
      </c>
      <c r="D7" s="4">
        <f>TRUNC(ROUND(($B7-SUMPRODUCT($C7:C7*$C$2:C$2))/D$2,5))</f>
        <v>0</v>
      </c>
      <c r="E7" s="4">
        <f>TRUNC(ROUND(($B7-SUMPRODUCT($C7:D7*$C$2:D$2))/E$2,5))</f>
        <v>0</v>
      </c>
      <c r="F7" s="4">
        <f>TRUNC(ROUND(($B7-SUMPRODUCT($C7:E7*$C$2:E$2))/F$2,5))</f>
        <v>0</v>
      </c>
      <c r="G7" s="4">
        <f>TRUNC(ROUND(($B7-SUMPRODUCT($C7:F7*$C$2:F$2))/G$2,5))</f>
        <v>0</v>
      </c>
      <c r="H7" s="4">
        <f>TRUNC(ROUND(($B7-SUMPRODUCT($C7:G7*$C$2:G$2))/H$2,5))</f>
        <v>0</v>
      </c>
      <c r="I7" s="4">
        <f>TRUNC(ROUND(($B7-SUMPRODUCT($C7:H7*$C$2:H$2))/I$2,5))</f>
        <v>0</v>
      </c>
      <c r="J7" s="4">
        <f>TRUNC(ROUND(($B7-SUMPRODUCT($C7:I7*$C$2:I$2))/J$2,5))</f>
        <v>0</v>
      </c>
      <c r="K7" s="4">
        <f>TRUNC(ROUND(($B7-SUMPRODUCT($C7:J7*$C$2:J$2))/K$2,5))</f>
        <v>0</v>
      </c>
      <c r="L7" s="4">
        <f>TRUNC(ROUND(($B7-SUMPRODUCT($C7:K7*$C$2:K$2))/L$2,5))</f>
        <v>0</v>
      </c>
      <c r="M7" s="4">
        <f>TRUNC(ROUND(($B7-SUMPRODUCT($C7:L7*$C$2:L$2))/M$2,5))</f>
        <v>0</v>
      </c>
      <c r="N7" s="4">
        <f>TRUNC(ROUND(($B7-SUMPRODUCT($C7:M7*$C$2:M$2))/N$2,5))</f>
        <v>0</v>
      </c>
      <c r="O7" s="4">
        <f>TRUNC(ROUND(($B7-SUMPRODUCT($C7:N7*$C$2:N$2))/O$2,5))</f>
        <v>0</v>
      </c>
      <c r="P7" s="4">
        <f>TRUNC(ROUND(($B7-SUMPRODUCT($C7:O7*$C$2:O$2))/P$2,5))</f>
        <v>0</v>
      </c>
      <c r="Q7" s="4">
        <f>TRUNC(ROUND(($B7-SUMPRODUCT($C7:P7*$C$2:P$2))/Q$2,5))</f>
        <v>0</v>
      </c>
      <c r="R7" s="3">
        <f>$B7-SUMPRODUCT($C7:Q7*$C$2:Q$2)</f>
        <v>0</v>
      </c>
    </row>
    <row r="8" spans="1:18" x14ac:dyDescent="0.2">
      <c r="A8" s="2"/>
      <c r="B8" s="3">
        <v>0</v>
      </c>
      <c r="C8" s="4">
        <f t="shared" si="0"/>
        <v>0</v>
      </c>
      <c r="D8" s="4">
        <f>TRUNC(ROUND(($B8-SUMPRODUCT($C8:C8*$C$2:C$2))/D$2,5))</f>
        <v>0</v>
      </c>
      <c r="E8" s="4">
        <f>TRUNC(ROUND(($B8-SUMPRODUCT($C8:D8*$C$2:D$2))/E$2,5))</f>
        <v>0</v>
      </c>
      <c r="F8" s="4">
        <f>TRUNC(ROUND(($B8-SUMPRODUCT($C8:E8*$C$2:E$2))/F$2,5))</f>
        <v>0</v>
      </c>
      <c r="G8" s="4">
        <f>TRUNC(ROUND(($B8-SUMPRODUCT($C8:F8*$C$2:F$2))/G$2,5))</f>
        <v>0</v>
      </c>
      <c r="H8" s="4">
        <f>TRUNC(ROUND(($B8-SUMPRODUCT($C8:G8*$C$2:G$2))/H$2,5))</f>
        <v>0</v>
      </c>
      <c r="I8" s="4">
        <f>TRUNC(ROUND(($B8-SUMPRODUCT($C8:H8*$C$2:H$2))/I$2,5))</f>
        <v>0</v>
      </c>
      <c r="J8" s="4">
        <f>TRUNC(ROUND(($B8-SUMPRODUCT($C8:I8*$C$2:I$2))/J$2,5))</f>
        <v>0</v>
      </c>
      <c r="K8" s="4">
        <f>TRUNC(ROUND(($B8-SUMPRODUCT($C8:J8*$C$2:J$2))/K$2,5))</f>
        <v>0</v>
      </c>
      <c r="L8" s="4">
        <f>TRUNC(ROUND(($B8-SUMPRODUCT($C8:K8*$C$2:K$2))/L$2,5))</f>
        <v>0</v>
      </c>
      <c r="M8" s="4">
        <f>TRUNC(ROUND(($B8-SUMPRODUCT($C8:L8*$C$2:L$2))/M$2,5))</f>
        <v>0</v>
      </c>
      <c r="N8" s="4">
        <f>TRUNC(ROUND(($B8-SUMPRODUCT($C8:M8*$C$2:M$2))/N$2,5))</f>
        <v>0</v>
      </c>
      <c r="O8" s="4">
        <f>TRUNC(ROUND(($B8-SUMPRODUCT($C8:N8*$C$2:N$2))/O$2,5))</f>
        <v>0</v>
      </c>
      <c r="P8" s="4">
        <f>TRUNC(ROUND(($B8-SUMPRODUCT($C8:O8*$C$2:O$2))/P$2,5))</f>
        <v>0</v>
      </c>
      <c r="Q8" s="4">
        <f>TRUNC(ROUND(($B8-SUMPRODUCT($C8:P8*$C$2:P$2))/Q$2,5))</f>
        <v>0</v>
      </c>
      <c r="R8" s="3">
        <f>$B8-SUMPRODUCT($C8:Q8*$C$2:Q$2)</f>
        <v>0</v>
      </c>
    </row>
    <row r="9" spans="1:18" x14ac:dyDescent="0.2">
      <c r="A9" s="2"/>
      <c r="B9" s="3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3"/>
    </row>
    <row r="10" spans="1:18" x14ac:dyDescent="0.2">
      <c r="A10" s="2"/>
      <c r="B10" s="3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3"/>
    </row>
    <row r="11" spans="1:18" x14ac:dyDescent="0.2">
      <c r="A11" s="2"/>
      <c r="B11" s="3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3"/>
    </row>
    <row r="12" spans="1:18" x14ac:dyDescent="0.2">
      <c r="A12" s="2"/>
      <c r="B12" s="3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3"/>
    </row>
    <row r="13" spans="1:18" x14ac:dyDescent="0.2">
      <c r="A13" s="2"/>
      <c r="B13" s="3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3"/>
    </row>
    <row r="14" spans="1:18" x14ac:dyDescent="0.2">
      <c r="A14" s="2"/>
      <c r="B14" s="3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3"/>
    </row>
    <row r="15" spans="1:18" x14ac:dyDescent="0.2">
      <c r="A15" s="2"/>
      <c r="B15" s="3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3"/>
    </row>
    <row r="16" spans="1:18" x14ac:dyDescent="0.2">
      <c r="A16" s="2"/>
      <c r="B16" s="3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3"/>
    </row>
    <row r="17" spans="1:18" x14ac:dyDescent="0.2">
      <c r="A17" s="2"/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3"/>
    </row>
    <row r="18" spans="1:18" x14ac:dyDescent="0.2">
      <c r="A18" s="2"/>
      <c r="B18" s="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3"/>
    </row>
    <row r="19" spans="1:18" x14ac:dyDescent="0.2">
      <c r="A19" s="2"/>
      <c r="B19" s="3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3"/>
    </row>
    <row r="20" spans="1:18" x14ac:dyDescent="0.2">
      <c r="A20" s="2"/>
      <c r="B20" s="3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3"/>
    </row>
    <row r="21" spans="1:18" x14ac:dyDescent="0.2">
      <c r="A21" s="2"/>
      <c r="B21" s="3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3"/>
    </row>
    <row r="22" spans="1:18" x14ac:dyDescent="0.2">
      <c r="A22" s="2"/>
      <c r="B22" s="3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3"/>
    </row>
    <row r="23" spans="1:18" x14ac:dyDescent="0.2">
      <c r="A23" s="2"/>
      <c r="B23" s="3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3"/>
    </row>
    <row r="24" spans="1:18" x14ac:dyDescent="0.2">
      <c r="A24" s="2"/>
      <c r="B24" s="3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3"/>
    </row>
    <row r="25" spans="1:18" x14ac:dyDescent="0.2">
      <c r="A25" s="2"/>
      <c r="B25" s="3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3"/>
    </row>
    <row r="26" spans="1:18" ht="13.5" thickBot="1" x14ac:dyDescent="0.25">
      <c r="A26" s="13"/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4"/>
    </row>
    <row r="27" spans="1:18" ht="15" x14ac:dyDescent="0.25">
      <c r="A27" s="17" t="s">
        <v>3</v>
      </c>
      <c r="B27" s="18">
        <f>SUM(B3:B26)</f>
        <v>27220.43</v>
      </c>
      <c r="C27" s="10">
        <f t="shared" ref="C27:R27" si="1">SUM(C3:C26)</f>
        <v>52</v>
      </c>
      <c r="D27" s="10">
        <f t="shared" si="1"/>
        <v>4</v>
      </c>
      <c r="E27" s="10">
        <f t="shared" si="1"/>
        <v>2</v>
      </c>
      <c r="F27" s="10">
        <f t="shared" si="1"/>
        <v>2</v>
      </c>
      <c r="G27" s="10">
        <f t="shared" si="1"/>
        <v>4</v>
      </c>
      <c r="H27" s="10">
        <f t="shared" si="1"/>
        <v>2</v>
      </c>
      <c r="I27" s="10">
        <f t="shared" si="1"/>
        <v>2</v>
      </c>
      <c r="J27" s="16">
        <f t="shared" si="1"/>
        <v>3</v>
      </c>
      <c r="K27" s="16">
        <f t="shared" si="1"/>
        <v>3</v>
      </c>
      <c r="L27" s="12">
        <f t="shared" si="1"/>
        <v>1</v>
      </c>
      <c r="M27" s="12">
        <f t="shared" si="1"/>
        <v>4</v>
      </c>
      <c r="N27" s="12">
        <f t="shared" si="1"/>
        <v>0</v>
      </c>
      <c r="O27" s="12">
        <f t="shared" si="1"/>
        <v>2</v>
      </c>
      <c r="P27" s="12">
        <f t="shared" si="1"/>
        <v>1</v>
      </c>
      <c r="Q27" s="12">
        <f t="shared" si="1"/>
        <v>1</v>
      </c>
      <c r="R27" s="11">
        <f t="shared" si="1"/>
        <v>0</v>
      </c>
    </row>
  </sheetData>
  <mergeCells count="3">
    <mergeCell ref="C1:I1"/>
    <mergeCell ref="J1:K1"/>
    <mergeCell ref="L1:Q1"/>
  </mergeCells>
  <phoneticPr fontId="1" type="noConversion"/>
  <pageMargins left="0.75" right="0.75" top="1" bottom="1" header="0" footer="0"/>
  <pageSetup orientation="portrait" horizontalDpi="0" verticalDpi="7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11"/>
  <sheetViews>
    <sheetView workbookViewId="0">
      <selection activeCell="L2" sqref="L2"/>
    </sheetView>
  </sheetViews>
  <sheetFormatPr baseColWidth="10" defaultRowHeight="12.75" x14ac:dyDescent="0.2"/>
  <cols>
    <col min="3" max="18" width="7.28515625" customWidth="1"/>
  </cols>
  <sheetData>
    <row r="1" spans="1:20" ht="15" x14ac:dyDescent="0.25">
      <c r="C1" s="19" t="s">
        <v>8</v>
      </c>
      <c r="D1" s="19"/>
      <c r="E1" s="19"/>
      <c r="F1" s="19"/>
      <c r="G1" s="19"/>
      <c r="H1" s="19"/>
      <c r="I1" s="19"/>
      <c r="J1" s="20" t="s">
        <v>9</v>
      </c>
      <c r="K1" s="20"/>
      <c r="L1" s="21" t="s">
        <v>10</v>
      </c>
      <c r="M1" s="21"/>
      <c r="N1" s="21"/>
      <c r="O1" s="21"/>
      <c r="P1" s="21"/>
      <c r="Q1" s="21"/>
    </row>
    <row r="2" spans="1:20" ht="15" x14ac:dyDescent="0.25">
      <c r="A2" s="1" t="s">
        <v>4</v>
      </c>
      <c r="B2" s="1" t="s">
        <v>0</v>
      </c>
      <c r="C2" s="5">
        <v>500</v>
      </c>
      <c r="D2" s="5">
        <v>200</v>
      </c>
      <c r="E2" s="5">
        <v>100</v>
      </c>
      <c r="F2" s="5">
        <v>50</v>
      </c>
      <c r="G2" s="5">
        <v>20</v>
      </c>
      <c r="H2" s="5">
        <v>10</v>
      </c>
      <c r="I2" s="5">
        <v>5</v>
      </c>
      <c r="J2" s="6">
        <v>2</v>
      </c>
      <c r="K2" s="6">
        <v>1</v>
      </c>
      <c r="L2" s="7">
        <v>0.5</v>
      </c>
      <c r="M2" s="7">
        <v>0.2</v>
      </c>
      <c r="N2" s="7">
        <v>0.1</v>
      </c>
      <c r="O2" s="7">
        <v>0.05</v>
      </c>
      <c r="P2" s="7">
        <v>0.02</v>
      </c>
      <c r="Q2" s="7">
        <v>0.01</v>
      </c>
      <c r="R2" s="1" t="s">
        <v>2</v>
      </c>
    </row>
    <row r="3" spans="1:20" x14ac:dyDescent="0.2">
      <c r="A3" s="2" t="s">
        <v>5</v>
      </c>
      <c r="B3" s="3">
        <v>3563.98</v>
      </c>
      <c r="C3" s="4"/>
      <c r="D3" s="4"/>
      <c r="E3" s="4">
        <f>TRUNC($B3/E$2)</f>
        <v>35</v>
      </c>
      <c r="F3" s="4">
        <f>TRUNC(ROUND(($B3-SUMPRODUCT($E3:E3*$E$2:E$2))/F$2,5))</f>
        <v>1</v>
      </c>
      <c r="G3" s="4">
        <f>TRUNC(ROUND(($B3-SUMPRODUCT($E3:F3*$E$2:F$2))/G$2,5))</f>
        <v>0</v>
      </c>
      <c r="H3" s="4">
        <f>TRUNC(ROUND(($B3-SUMPRODUCT($E3:G3*$E$2:G$2))/H$2,5))</f>
        <v>1</v>
      </c>
      <c r="I3" s="4">
        <f>TRUNC(ROUND(($B3-SUMPRODUCT($E3:H3*$E$2:H$2))/I$2,5))</f>
        <v>0</v>
      </c>
      <c r="J3" s="4">
        <f>TRUNC(ROUND(($B3-SUMPRODUCT($E3:I3*$E$2:I$2))/J$2,5))</f>
        <v>1</v>
      </c>
      <c r="K3" s="4">
        <f>TRUNC(ROUND(($B3-SUMPRODUCT($E3:J3*$E$2:J$2))/K$2,5))</f>
        <v>1</v>
      </c>
      <c r="L3" s="4">
        <f>TRUNC(ROUND(($B3-SUMPRODUCT($E3:K3*$E$2:K$2))/L$2,5))</f>
        <v>1</v>
      </c>
      <c r="M3" s="4">
        <f>TRUNC(ROUND(($B3-SUMPRODUCT($E3:L3*$E$2:L$2))/M$2,5))</f>
        <v>2</v>
      </c>
      <c r="N3" s="4">
        <f>TRUNC(ROUND(($B3-SUMPRODUCT($E3:M3*$E$2:M$2))/N$2,5))</f>
        <v>0</v>
      </c>
      <c r="O3" s="4">
        <f>TRUNC(ROUND(($B3-SUMPRODUCT($E3:N3*$E$2:N$2))/O$2,5))</f>
        <v>1</v>
      </c>
      <c r="P3" s="4">
        <f>TRUNC(ROUND(($B3-SUMPRODUCT($E3:O3*$E$2:O$2))/P$2,5))</f>
        <v>1</v>
      </c>
      <c r="Q3" s="4">
        <f>TRUNC(ROUND(($B3-SUMPRODUCT($E3:P3*$E$2:P$2))/Q$2,5))</f>
        <v>1</v>
      </c>
      <c r="R3" s="4">
        <f>$B3-SUMPRODUCT($C3:Q3*$C$2:Q$2)</f>
        <v>0</v>
      </c>
      <c r="T3" t="str">
        <f>IF(E3=0,"",E3 &amp; " Billete/s de 100 ") &amp; IF(F3=0,"","y "&amp;F3 &amp; " Billete/s de 50 ") &amp; IF(G3=0,"","y "&amp;G3 &amp; " Billete/s de 20 ") &amp; IF(H3=0,"","y "&amp;H3 &amp; " Billete/s de 10 ") &amp; IF(I3=0,"","y "&amp;I3 &amp; " Billete/s de 5 ") &amp; IF(J3=0,"","y "&amp;J3 &amp; " moneda/s de 2€ ") &amp; IF(K3=0,"","y "&amp;K3 &amp; " moneda/s de 1€ ") &amp; IF(L3=0,"","y "&amp;L3 &amp; " moneda/s de 50 cent ") &amp; IF(M3=0,"","y "&amp;M3 &amp; " moneda/s de 20 cent ") &amp; IF(N3=0,"","y "&amp;N3 &amp; " moneda/s de 10 cent ") &amp; IF(O3=0,"","y "&amp;O3 &amp; " moneda/s de 5 cent ") &amp; IF(P3=0,"","y "&amp;P3 &amp; " moneda/s de 2 cent ") &amp; IF(Q3=0,"","y "&amp;Q3 &amp; " moneda/s de 1 cent ")</f>
        <v xml:space="preserve">35 Billete/s de 100 y 1 Billete/s de 50 y 1 Billete/s de 10 y 1 moneda/s de 2€ y 1 moneda/s de 1€ y 1 moneda/s de 50 cent y 2 moneda/s de 20 cent y 1 moneda/s de 5 cent y 1 moneda/s de 2 cent y 1 moneda/s de 1 cent </v>
      </c>
    </row>
    <row r="4" spans="1:20" x14ac:dyDescent="0.2">
      <c r="A4" s="2" t="s">
        <v>6</v>
      </c>
      <c r="B4" s="3">
        <v>7893</v>
      </c>
      <c r="C4" s="4"/>
      <c r="D4" s="4"/>
      <c r="E4" s="4">
        <f t="shared" ref="E4:E8" si="0">TRUNC($B4/E$2)</f>
        <v>78</v>
      </c>
      <c r="F4" s="4">
        <f>TRUNC(ROUND(($B4-SUMPRODUCT($E4:E4*$E$2:E$2))/F$2,5))</f>
        <v>1</v>
      </c>
      <c r="G4" s="4">
        <f>TRUNC(ROUND(($B4-SUMPRODUCT($E4:F4*$E$2:F$2))/G$2,5))</f>
        <v>2</v>
      </c>
      <c r="H4" s="4">
        <f>TRUNC(ROUND(($B4-SUMPRODUCT($E4:G4*$E$2:G$2))/H$2,5))</f>
        <v>0</v>
      </c>
      <c r="I4" s="4">
        <f>TRUNC(ROUND(($B4-SUMPRODUCT($E4:H4*$E$2:H$2))/I$2,5))</f>
        <v>0</v>
      </c>
      <c r="J4" s="4">
        <f>TRUNC(ROUND(($B4-SUMPRODUCT($E4:I4*$E$2:I$2))/J$2,5))</f>
        <v>1</v>
      </c>
      <c r="K4" s="4">
        <f>TRUNC(ROUND(($B4-SUMPRODUCT($E4:J4*$E$2:J$2))/K$2,5))</f>
        <v>1</v>
      </c>
      <c r="L4" s="4">
        <f>TRUNC(ROUND(($B4-SUMPRODUCT($E4:K4*$E$2:K$2))/L$2,5))</f>
        <v>0</v>
      </c>
      <c r="M4" s="4">
        <f>TRUNC(ROUND(($B4-SUMPRODUCT($E4:L4*$E$2:L$2))/M$2,5))</f>
        <v>0</v>
      </c>
      <c r="N4" s="4">
        <f>TRUNC(ROUND(($B4-SUMPRODUCT($E4:M4*$E$2:M$2))/N$2,5))</f>
        <v>0</v>
      </c>
      <c r="O4" s="4">
        <f>TRUNC(ROUND(($B4-SUMPRODUCT($E4:N4*$E$2:N$2))/O$2,5))</f>
        <v>0</v>
      </c>
      <c r="P4" s="4">
        <f>TRUNC(ROUND(($B4-SUMPRODUCT($E4:O4*$E$2:O$2))/P$2,5))</f>
        <v>0</v>
      </c>
      <c r="Q4" s="4">
        <f>TRUNC(ROUND(($B4-SUMPRODUCT($E4:P4*$E$2:P$2))/Q$2,5))</f>
        <v>0</v>
      </c>
      <c r="R4" s="4">
        <f>$B4-SUMPRODUCT($C4:Q4*$C$2:Q$2)</f>
        <v>0</v>
      </c>
      <c r="T4" t="str">
        <f t="shared" ref="T4:T8" si="1">IF(E4=0,"",E4 &amp; " Billete/s de 100 ") &amp; IF(F4=0,"","y "&amp;F4 &amp; " Billete/s de 50 ") &amp; IF(G4=0,"","y "&amp;G4 &amp; " Billete/s de 20 ") &amp; IF(H4=0,"","y "&amp;H4 &amp; " Billete/s de 10 ") &amp; IF(I4=0,"","y "&amp;I4 &amp; " Billete/s de 5 ") &amp; IF(J4=0,"","y "&amp;J4 &amp; " moneda/s de 2€ ") &amp; IF(K4=0,"","y "&amp;K4 &amp; " moneda/s de 1€ ") &amp; IF(L4=0,"","y "&amp;L4 &amp; " moneda/s de 50 cent ") &amp; IF(M4=0,"","y "&amp;M4 &amp; " moneda/s de 20 cent ") &amp; IF(N4=0,"","y "&amp;N4 &amp; " moneda/s de 10 cent ") &amp; IF(O4=0,"","y "&amp;O4 &amp; " moneda/s de 5 cent ") &amp; IF(P4=0,"","y "&amp;P4 &amp; " moneda/s de 2 cent ") &amp; IF(Q4=0,"","y "&amp;Q4 &amp; " moneda/s de 1 cent ")</f>
        <v xml:space="preserve">78 Billete/s de 100 y 1 Billete/s de 50 y 2 Billete/s de 20 y 1 moneda/s de 2€ y 1 moneda/s de 1€ </v>
      </c>
    </row>
    <row r="5" spans="1:20" x14ac:dyDescent="0.2">
      <c r="A5" s="2" t="s">
        <v>7</v>
      </c>
      <c r="B5" s="3">
        <v>824</v>
      </c>
      <c r="C5" s="4"/>
      <c r="D5" s="4"/>
      <c r="E5" s="4">
        <f t="shared" si="0"/>
        <v>8</v>
      </c>
      <c r="F5" s="4">
        <f>TRUNC(ROUND(($B5-SUMPRODUCT($E5:E5*$E$2:E$2))/F$2,5))</f>
        <v>0</v>
      </c>
      <c r="G5" s="4">
        <f>TRUNC(ROUND(($B5-SUMPRODUCT($E5:F5*$E$2:F$2))/G$2,5))</f>
        <v>1</v>
      </c>
      <c r="H5" s="4">
        <f>TRUNC(ROUND(($B5-SUMPRODUCT($E5:G5*$E$2:G$2))/H$2,5))</f>
        <v>0</v>
      </c>
      <c r="I5" s="4">
        <f>TRUNC(ROUND(($B5-SUMPRODUCT($E5:H5*$E$2:H$2))/I$2,5))</f>
        <v>0</v>
      </c>
      <c r="J5" s="4">
        <f>TRUNC(ROUND(($B5-SUMPRODUCT($E5:I5*$E$2:I$2))/J$2,5))</f>
        <v>2</v>
      </c>
      <c r="K5" s="4">
        <f>TRUNC(ROUND(($B5-SUMPRODUCT($E5:J5*$E$2:J$2))/K$2,5))</f>
        <v>0</v>
      </c>
      <c r="L5" s="4">
        <f>TRUNC(ROUND(($B5-SUMPRODUCT($E5:K5*$E$2:K$2))/L$2,5))</f>
        <v>0</v>
      </c>
      <c r="M5" s="4">
        <f>TRUNC(ROUND(($B5-SUMPRODUCT($E5:L5*$E$2:L$2))/M$2,5))</f>
        <v>0</v>
      </c>
      <c r="N5" s="4">
        <f>TRUNC(ROUND(($B5-SUMPRODUCT($E5:M5*$E$2:M$2))/N$2,5))</f>
        <v>0</v>
      </c>
      <c r="O5" s="4">
        <f>TRUNC(ROUND(($B5-SUMPRODUCT($E5:N5*$E$2:N$2))/O$2,5))</f>
        <v>0</v>
      </c>
      <c r="P5" s="4">
        <f>TRUNC(ROUND(($B5-SUMPRODUCT($E5:O5*$E$2:O$2))/P$2,5))</f>
        <v>0</v>
      </c>
      <c r="Q5" s="4">
        <f>TRUNC(ROUND(($B5-SUMPRODUCT($E5:P5*$E$2:P$2))/Q$2,5))</f>
        <v>0</v>
      </c>
      <c r="R5" s="4">
        <f>$B5-SUMPRODUCT($C5:Q5*$C$2:Q$2)</f>
        <v>0</v>
      </c>
      <c r="T5" t="str">
        <f t="shared" si="1"/>
        <v xml:space="preserve">8 Billete/s de 100 y 1 Billete/s de 20 y 2 moneda/s de 2€ </v>
      </c>
    </row>
    <row r="6" spans="1:20" x14ac:dyDescent="0.2">
      <c r="A6" s="2" t="s">
        <v>1</v>
      </c>
      <c r="B6" s="3">
        <v>315</v>
      </c>
      <c r="C6" s="4"/>
      <c r="D6" s="4"/>
      <c r="E6" s="4">
        <f t="shared" si="0"/>
        <v>3</v>
      </c>
      <c r="F6" s="4">
        <f>TRUNC(ROUND(($B6-SUMPRODUCT($E6:E6*$E$2:E$2))/F$2,5))</f>
        <v>0</v>
      </c>
      <c r="G6" s="4">
        <f>TRUNC(ROUND(($B6-SUMPRODUCT($E6:F6*$E$2:F$2))/G$2,5))</f>
        <v>0</v>
      </c>
      <c r="H6" s="4">
        <f>TRUNC(ROUND(($B6-SUMPRODUCT($E6:G6*$E$2:G$2))/H$2,5))</f>
        <v>1</v>
      </c>
      <c r="I6" s="4">
        <f>TRUNC(ROUND(($B6-SUMPRODUCT($E6:H6*$E$2:H$2))/I$2,5))</f>
        <v>1</v>
      </c>
      <c r="J6" s="4">
        <f>TRUNC(ROUND(($B6-SUMPRODUCT($E6:I6*$E$2:I$2))/J$2,5))</f>
        <v>0</v>
      </c>
      <c r="K6" s="4">
        <f>TRUNC(ROUND(($B6-SUMPRODUCT($E6:J6*$E$2:J$2))/K$2,5))</f>
        <v>0</v>
      </c>
      <c r="L6" s="4">
        <f>TRUNC(ROUND(($B6-SUMPRODUCT($E6:K6*$E$2:K$2))/L$2,5))</f>
        <v>0</v>
      </c>
      <c r="M6" s="4">
        <f>TRUNC(ROUND(($B6-SUMPRODUCT($E6:L6*$E$2:L$2))/M$2,5))</f>
        <v>0</v>
      </c>
      <c r="N6" s="4">
        <f>TRUNC(ROUND(($B6-SUMPRODUCT($E6:M6*$E$2:M$2))/N$2,5))</f>
        <v>0</v>
      </c>
      <c r="O6" s="4">
        <f>TRUNC(ROUND(($B6-SUMPRODUCT($E6:N6*$E$2:N$2))/O$2,5))</f>
        <v>0</v>
      </c>
      <c r="P6" s="4">
        <f>TRUNC(ROUND(($B6-SUMPRODUCT($E6:O6*$E$2:O$2))/P$2,5))</f>
        <v>0</v>
      </c>
      <c r="Q6" s="4">
        <f>TRUNC(ROUND(($B6-SUMPRODUCT($E6:P6*$E$2:P$2))/Q$2,5))</f>
        <v>0</v>
      </c>
      <c r="R6" s="4">
        <f>$B6-SUMPRODUCT($C6:Q6*$C$2:Q$2)</f>
        <v>0</v>
      </c>
      <c r="T6" t="str">
        <f t="shared" si="1"/>
        <v xml:space="preserve">3 Billete/s de 100 y 1 Billete/s de 10 y 1 Billete/s de 5 </v>
      </c>
    </row>
    <row r="7" spans="1:20" x14ac:dyDescent="0.2">
      <c r="A7" s="2"/>
      <c r="B7" s="3">
        <v>0</v>
      </c>
      <c r="C7" s="4"/>
      <c r="D7" s="4"/>
      <c r="E7" s="4">
        <f t="shared" si="0"/>
        <v>0</v>
      </c>
      <c r="F7" s="4">
        <f>TRUNC(ROUND(($B7-SUMPRODUCT($E7:E7*$E$2:E$2))/F$2,5))</f>
        <v>0</v>
      </c>
      <c r="G7" s="4">
        <f>TRUNC(ROUND(($B7-SUMPRODUCT($E7:F7*$E$2:F$2))/G$2,5))</f>
        <v>0</v>
      </c>
      <c r="H7" s="4">
        <f>TRUNC(ROUND(($B7-SUMPRODUCT($E7:G7*$E$2:G$2))/H$2,5))</f>
        <v>0</v>
      </c>
      <c r="I7" s="4">
        <f>TRUNC(ROUND(($B7-SUMPRODUCT($E7:H7*$E$2:H$2))/I$2,5))</f>
        <v>0</v>
      </c>
      <c r="J7" s="4">
        <f>TRUNC(ROUND(($B7-SUMPRODUCT($E7:I7*$E$2:I$2))/J$2,5))</f>
        <v>0</v>
      </c>
      <c r="K7" s="4">
        <f>TRUNC(ROUND(($B7-SUMPRODUCT($E7:J7*$E$2:J$2))/K$2,5))</f>
        <v>0</v>
      </c>
      <c r="L7" s="4">
        <f>TRUNC(ROUND(($B7-SUMPRODUCT($E7:K7*$E$2:K$2))/L$2,5))</f>
        <v>0</v>
      </c>
      <c r="M7" s="4">
        <f>TRUNC(ROUND(($B7-SUMPRODUCT($E7:L7*$E$2:L$2))/M$2,5))</f>
        <v>0</v>
      </c>
      <c r="N7" s="4">
        <f>TRUNC(ROUND(($B7-SUMPRODUCT($E7:M7*$E$2:M$2))/N$2,5))</f>
        <v>0</v>
      </c>
      <c r="O7" s="4">
        <f>TRUNC(ROUND(($B7-SUMPRODUCT($E7:N7*$E$2:N$2))/O$2,5))</f>
        <v>0</v>
      </c>
      <c r="P7" s="4">
        <f>TRUNC(ROUND(($B7-SUMPRODUCT($E7:O7*$E$2:O$2))/P$2,5))</f>
        <v>0</v>
      </c>
      <c r="Q7" s="4">
        <f>TRUNC(ROUND(($B7-SUMPRODUCT($E7:P7*$E$2:P$2))/Q$2,5))</f>
        <v>0</v>
      </c>
      <c r="R7" s="4">
        <f>$B7-SUMPRODUCT($C7:Q7*$C$2:Q$2)</f>
        <v>0</v>
      </c>
      <c r="T7" t="str">
        <f t="shared" si="1"/>
        <v/>
      </c>
    </row>
    <row r="8" spans="1:20" x14ac:dyDescent="0.2">
      <c r="A8" s="2"/>
      <c r="B8" s="3">
        <v>0</v>
      </c>
      <c r="C8" s="4"/>
      <c r="D8" s="4"/>
      <c r="E8" s="4">
        <f t="shared" si="0"/>
        <v>0</v>
      </c>
      <c r="F8" s="4">
        <f>TRUNC(ROUND(($B8-SUMPRODUCT($E8:E8*$E$2:E$2))/F$2,5))</f>
        <v>0</v>
      </c>
      <c r="G8" s="4">
        <f>TRUNC(ROUND(($B8-SUMPRODUCT($E8:F8*$E$2:F$2))/G$2,5))</f>
        <v>0</v>
      </c>
      <c r="H8" s="4">
        <f>TRUNC(ROUND(($B8-SUMPRODUCT($E8:G8*$E$2:G$2))/H$2,5))</f>
        <v>0</v>
      </c>
      <c r="I8" s="4">
        <f>TRUNC(ROUND(($B8-SUMPRODUCT($E8:H8*$E$2:H$2))/I$2,5))</f>
        <v>0</v>
      </c>
      <c r="J8" s="4">
        <f>TRUNC(ROUND(($B8-SUMPRODUCT($E8:I8*$E$2:I$2))/J$2,5))</f>
        <v>0</v>
      </c>
      <c r="K8" s="4">
        <f>TRUNC(ROUND(($B8-SUMPRODUCT($E8:J8*$E$2:J$2))/K$2,5))</f>
        <v>0</v>
      </c>
      <c r="L8" s="4">
        <f>TRUNC(ROUND(($B8-SUMPRODUCT($E8:K8*$E$2:K$2))/L$2,5))</f>
        <v>0</v>
      </c>
      <c r="M8" s="4">
        <f>TRUNC(ROUND(($B8-SUMPRODUCT($E8:L8*$E$2:L$2))/M$2,5))</f>
        <v>0</v>
      </c>
      <c r="N8" s="4">
        <f>TRUNC(ROUND(($B8-SUMPRODUCT($E8:M8*$E$2:M$2))/N$2,5))</f>
        <v>0</v>
      </c>
      <c r="O8" s="4">
        <f>TRUNC(ROUND(($B8-SUMPRODUCT($E8:N8*$E$2:N$2))/O$2,5))</f>
        <v>0</v>
      </c>
      <c r="P8" s="4">
        <f>TRUNC(ROUND(($B8-SUMPRODUCT($E8:O8*$E$2:O$2))/P$2,5))</f>
        <v>0</v>
      </c>
      <c r="Q8" s="4">
        <f>TRUNC(ROUND(($B8-SUMPRODUCT($E8:P8*$E$2:P$2))/Q$2,5))</f>
        <v>0</v>
      </c>
      <c r="R8" s="4">
        <f>$B8-SUMPRODUCT($C8:Q8*$C$2:Q$2)</f>
        <v>0</v>
      </c>
      <c r="T8" t="str">
        <f t="shared" si="1"/>
        <v/>
      </c>
    </row>
    <row r="10" spans="1:20" x14ac:dyDescent="0.2">
      <c r="A10" s="2"/>
      <c r="B10" s="3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3"/>
    </row>
    <row r="11" spans="1:20" x14ac:dyDescent="0.2">
      <c r="A11" s="2"/>
      <c r="B11" s="3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3"/>
    </row>
  </sheetData>
  <mergeCells count="3">
    <mergeCell ref="C1:I1"/>
    <mergeCell ref="J1:K1"/>
    <mergeCell ref="L1:Q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11"/>
  <sheetViews>
    <sheetView workbookViewId="0">
      <selection activeCell="N3" sqref="N3"/>
    </sheetView>
  </sheetViews>
  <sheetFormatPr baseColWidth="10" defaultRowHeight="12.75" x14ac:dyDescent="0.2"/>
  <cols>
    <col min="3" max="18" width="7.28515625" customWidth="1"/>
  </cols>
  <sheetData>
    <row r="1" spans="1:20" ht="15" x14ac:dyDescent="0.25">
      <c r="C1" s="19" t="s">
        <v>8</v>
      </c>
      <c r="D1" s="19"/>
      <c r="E1" s="19"/>
      <c r="F1" s="19"/>
      <c r="G1" s="19"/>
      <c r="H1" s="19"/>
      <c r="I1" s="19"/>
      <c r="J1" s="20" t="s">
        <v>9</v>
      </c>
      <c r="K1" s="20"/>
      <c r="L1" s="21" t="s">
        <v>10</v>
      </c>
      <c r="M1" s="21"/>
      <c r="N1" s="21"/>
      <c r="O1" s="21"/>
      <c r="P1" s="21"/>
      <c r="Q1" s="21"/>
    </row>
    <row r="2" spans="1:20" ht="15" x14ac:dyDescent="0.25">
      <c r="A2" s="1" t="s">
        <v>4</v>
      </c>
      <c r="B2" s="1" t="s">
        <v>0</v>
      </c>
      <c r="C2" s="5">
        <v>500</v>
      </c>
      <c r="D2" s="5">
        <v>200</v>
      </c>
      <c r="E2" s="5">
        <v>100</v>
      </c>
      <c r="F2" s="5">
        <v>50</v>
      </c>
      <c r="G2" s="5">
        <v>20</v>
      </c>
      <c r="H2" s="5">
        <v>10</v>
      </c>
      <c r="I2" s="5">
        <v>5</v>
      </c>
      <c r="J2" s="6">
        <v>2</v>
      </c>
      <c r="K2" s="6">
        <v>1</v>
      </c>
      <c r="L2" s="7">
        <v>0.5</v>
      </c>
      <c r="M2" s="7">
        <v>0.2</v>
      </c>
      <c r="N2" s="7">
        <v>0.1</v>
      </c>
      <c r="O2" s="7">
        <v>0.05</v>
      </c>
      <c r="P2" s="7">
        <v>0.02</v>
      </c>
      <c r="Q2" s="7">
        <v>0.01</v>
      </c>
      <c r="R2" s="1" t="s">
        <v>2</v>
      </c>
    </row>
    <row r="3" spans="1:20" x14ac:dyDescent="0.2">
      <c r="A3" s="2" t="s">
        <v>5</v>
      </c>
      <c r="B3" s="3">
        <v>3563.98</v>
      </c>
      <c r="C3" s="4"/>
      <c r="D3" s="4"/>
      <c r="E3" s="4">
        <f>INT($B3/E$2)</f>
        <v>35</v>
      </c>
      <c r="F3" s="4">
        <f>INT((B3/$F$2)-(E3*2))</f>
        <v>1</v>
      </c>
      <c r="G3" s="4">
        <f>INT((B3/$G$2)-(E3*5+F3*2.5))</f>
        <v>0</v>
      </c>
      <c r="H3" s="4">
        <f>INT((B3/$H$2)-(E3*10+F3*5+G3*2))</f>
        <v>1</v>
      </c>
      <c r="I3" s="4">
        <f>INT((B3/$I$2)-(E3*20+F3*10+G3*4+H3*2))</f>
        <v>0</v>
      </c>
      <c r="J3" s="4">
        <f>INT((B3/$J$2)-(E3*50+F3*25+G3*10+H3*5+I3*2.5))</f>
        <v>1</v>
      </c>
      <c r="K3" s="4">
        <f>INT((B3/$K$2)-(E3*100+F3*50+G3*20+H3*10+I3*5+J3*2))</f>
        <v>1</v>
      </c>
      <c r="L3" s="4">
        <f>INT((B3/$L$2)-(E3*200+F3*100+G3*40+H3*20+I3*10+J3*4+K3*2))</f>
        <v>1</v>
      </c>
      <c r="M3" s="4">
        <f>INT((B3/$M$2)-(E3*500+F3*250+G3*100+H3*50+I3*25+J3*10+K3*5+L3*2.5))</f>
        <v>2</v>
      </c>
      <c r="N3" s="4"/>
      <c r="O3" s="4"/>
      <c r="P3" s="4"/>
      <c r="Q3" s="4"/>
      <c r="R3" s="4"/>
      <c r="T3" t="str">
        <f>IF(E3=0,"",E3 &amp; " Billete/s de 100 ") &amp; IF(F3=0,"","y "&amp;F3 &amp; " Billete/s de 50 ") &amp; IF(G3=0,"","y "&amp;G3 &amp; " Billete/s de 20 ") &amp; IF(H3=0,"","y "&amp;H3 &amp; " Billete/s de 10 ") &amp; IF(I3=0,"","y "&amp;I3 &amp; " Billete/s de 5 ") &amp; IF(J3=0,"","y "&amp;J3 &amp; " moneda/s de 2€ ") &amp; IF(K3=0,"","y "&amp;K3 &amp; " moneda/s de 1€ ") &amp; IF(L3=0,"","y "&amp;L3 &amp; " moneda/s de 50 cent ") &amp; IF(M3=0,"","y "&amp;M3 &amp; " moneda/s de 20 cent ") &amp; IF(N3=0,"","y "&amp;N3 &amp; " moneda/s de 10 cent ") &amp; IF(O3=0,"","y "&amp;O3 &amp; " moneda/s de 5 cent ") &amp; IF(P3=0,"","y "&amp;P3 &amp; " moneda/s de 2 cent ") &amp; IF(Q3=0,"","y "&amp;Q3 &amp; " moneda/s de 1 cent ")</f>
        <v xml:space="preserve">35 Billete/s de 100 y 1 Billete/s de 50 y 1 Billete/s de 10 y 1 moneda/s de 2€ y 1 moneda/s de 1€ y 1 moneda/s de 50 cent y 2 moneda/s de 20 cent </v>
      </c>
    </row>
    <row r="4" spans="1:20" x14ac:dyDescent="0.2">
      <c r="A4" s="2" t="s">
        <v>6</v>
      </c>
      <c r="B4" s="3">
        <v>7893</v>
      </c>
      <c r="C4" s="4"/>
      <c r="D4" s="4"/>
      <c r="E4" s="4">
        <f t="shared" ref="E4:E8" si="0">TRUNC($B4/E$2)</f>
        <v>78</v>
      </c>
      <c r="F4" s="4">
        <f t="shared" ref="F4:F8" si="1">INT((B4/$F$2)-(E4*2))</f>
        <v>1</v>
      </c>
      <c r="G4" s="4">
        <f t="shared" ref="G4:G7" si="2">INT((B4/$G$2)-(E4*5+F4*2.5))</f>
        <v>2</v>
      </c>
      <c r="H4" s="4">
        <f t="shared" ref="H4:H8" si="3">INT((B4/$H$2)-(E4*10+F4*5+G4*2))</f>
        <v>0</v>
      </c>
      <c r="I4" s="4">
        <f t="shared" ref="I4:I8" si="4">INT((B4/$I$2)-(E4*20+F4*10+G4*4+H4*2))</f>
        <v>0</v>
      </c>
      <c r="J4" s="4">
        <f t="shared" ref="J4:J8" si="5">INT((B4/$J$2)-(E4*50+F4*25+G4*10+H4*5+I4*2.5))</f>
        <v>1</v>
      </c>
      <c r="K4" s="4">
        <f t="shared" ref="K4:K8" si="6">INT((B4/$K$2)-(E4*100+F4*50+G4*20+H4*10+I4*5+J4*2))</f>
        <v>1</v>
      </c>
      <c r="L4" s="4">
        <f t="shared" ref="L4:L8" si="7">INT((B4/$L$2)-(E4*200+F4*100+G4*40+H4*20+I4*10+J4*4+K4*2))</f>
        <v>0</v>
      </c>
      <c r="M4" s="4">
        <f t="shared" ref="M4:M8" si="8">INT((B4/$M$2)-(E4*500+F4*250+G4*100+H4*50+I4*25+J4*10+K4*5+L4*2.5))</f>
        <v>0</v>
      </c>
      <c r="N4" s="4"/>
      <c r="O4" s="4"/>
      <c r="P4" s="4"/>
      <c r="Q4" s="4"/>
      <c r="R4" s="4"/>
      <c r="T4" t="str">
        <f t="shared" ref="T4:T8" si="9">IF(E4=0,"",E4 &amp; " Billete/s de 100 ") &amp; IF(F4=0,"","y "&amp;F4 &amp; " Billete/s de 50 ") &amp; IF(G4=0,"","y "&amp;G4 &amp; " Billete/s de 20 ") &amp; IF(H4=0,"","y "&amp;H4 &amp; " Billete/s de 10 ") &amp; IF(I4=0,"","y "&amp;I4 &amp; " Billete/s de 5 ") &amp; IF(J4=0,"","y "&amp;J4 &amp; " moneda/s de 2€ ") &amp; IF(K4=0,"","y "&amp;K4 &amp; " moneda/s de 1€ ") &amp; IF(L4=0,"","y "&amp;L4 &amp; " moneda/s de 50 cent ") &amp; IF(M4=0,"","y "&amp;M4 &amp; " moneda/s de 20 cent ") &amp; IF(N4=0,"","y "&amp;N4 &amp; " moneda/s de 10 cent ") &amp; IF(O4=0,"","y "&amp;O4 &amp; " moneda/s de 5 cent ") &amp; IF(P4=0,"","y "&amp;P4 &amp; " moneda/s de 2 cent ") &amp; IF(Q4=0,"","y "&amp;Q4 &amp; " moneda/s de 1 cent ")</f>
        <v xml:space="preserve">78 Billete/s de 100 y 1 Billete/s de 50 y 2 Billete/s de 20 y 1 moneda/s de 2€ y 1 moneda/s de 1€ </v>
      </c>
    </row>
    <row r="5" spans="1:20" x14ac:dyDescent="0.2">
      <c r="A5" s="2" t="s">
        <v>7</v>
      </c>
      <c r="B5" s="3">
        <v>824</v>
      </c>
      <c r="C5" s="4"/>
      <c r="D5" s="4"/>
      <c r="E5" s="4">
        <f t="shared" si="0"/>
        <v>8</v>
      </c>
      <c r="F5" s="4">
        <f t="shared" si="1"/>
        <v>0</v>
      </c>
      <c r="G5" s="4">
        <f t="shared" si="2"/>
        <v>1</v>
      </c>
      <c r="H5" s="4">
        <f t="shared" si="3"/>
        <v>0</v>
      </c>
      <c r="I5" s="4">
        <f t="shared" si="4"/>
        <v>0</v>
      </c>
      <c r="J5" s="4">
        <f t="shared" si="5"/>
        <v>2</v>
      </c>
      <c r="K5" s="4">
        <f t="shared" si="6"/>
        <v>0</v>
      </c>
      <c r="L5" s="4">
        <f t="shared" si="7"/>
        <v>0</v>
      </c>
      <c r="M5" s="4">
        <f t="shared" si="8"/>
        <v>0</v>
      </c>
      <c r="N5" s="4"/>
      <c r="O5" s="4"/>
      <c r="P5" s="4"/>
      <c r="Q5" s="4"/>
      <c r="R5" s="4"/>
      <c r="T5" t="str">
        <f t="shared" si="9"/>
        <v xml:space="preserve">8 Billete/s de 100 y 1 Billete/s de 20 y 2 moneda/s de 2€ </v>
      </c>
    </row>
    <row r="6" spans="1:20" x14ac:dyDescent="0.2">
      <c r="A6" s="2" t="s">
        <v>1</v>
      </c>
      <c r="B6" s="3">
        <v>315</v>
      </c>
      <c r="C6" s="4"/>
      <c r="D6" s="4"/>
      <c r="E6" s="4">
        <f t="shared" si="0"/>
        <v>3</v>
      </c>
      <c r="F6" s="4">
        <f t="shared" si="1"/>
        <v>0</v>
      </c>
      <c r="G6" s="4">
        <f t="shared" si="2"/>
        <v>0</v>
      </c>
      <c r="H6" s="4">
        <f t="shared" si="3"/>
        <v>1</v>
      </c>
      <c r="I6" s="4">
        <f t="shared" si="4"/>
        <v>1</v>
      </c>
      <c r="J6" s="4">
        <f t="shared" si="5"/>
        <v>0</v>
      </c>
      <c r="K6" s="4">
        <f t="shared" si="6"/>
        <v>0</v>
      </c>
      <c r="L6" s="4">
        <f t="shared" si="7"/>
        <v>0</v>
      </c>
      <c r="M6" s="4">
        <f t="shared" si="8"/>
        <v>0</v>
      </c>
      <c r="N6" s="4"/>
      <c r="O6" s="4"/>
      <c r="P6" s="4"/>
      <c r="Q6" s="4"/>
      <c r="R6" s="4"/>
      <c r="T6" t="str">
        <f t="shared" si="9"/>
        <v xml:space="preserve">3 Billete/s de 100 y 1 Billete/s de 10 y 1 Billete/s de 5 </v>
      </c>
    </row>
    <row r="7" spans="1:20" x14ac:dyDescent="0.2">
      <c r="A7" s="2"/>
      <c r="B7" s="3">
        <v>0</v>
      </c>
      <c r="C7" s="4"/>
      <c r="D7" s="4"/>
      <c r="E7" s="4">
        <f t="shared" si="0"/>
        <v>0</v>
      </c>
      <c r="F7" s="4">
        <f t="shared" si="1"/>
        <v>0</v>
      </c>
      <c r="G7" s="4">
        <f t="shared" si="2"/>
        <v>0</v>
      </c>
      <c r="H7" s="4">
        <f t="shared" si="3"/>
        <v>0</v>
      </c>
      <c r="I7" s="4">
        <f t="shared" si="4"/>
        <v>0</v>
      </c>
      <c r="J7" s="4">
        <f t="shared" si="5"/>
        <v>0</v>
      </c>
      <c r="K7" s="4">
        <f t="shared" si="6"/>
        <v>0</v>
      </c>
      <c r="L7" s="4">
        <f t="shared" si="7"/>
        <v>0</v>
      </c>
      <c r="M7" s="4">
        <f t="shared" si="8"/>
        <v>0</v>
      </c>
      <c r="N7" s="4"/>
      <c r="O7" s="4"/>
      <c r="P7" s="4"/>
      <c r="Q7" s="4"/>
      <c r="R7" s="4"/>
      <c r="T7" t="str">
        <f t="shared" si="9"/>
        <v/>
      </c>
    </row>
    <row r="8" spans="1:20" x14ac:dyDescent="0.2">
      <c r="A8" s="2"/>
      <c r="B8" s="3">
        <v>0</v>
      </c>
      <c r="C8" s="4"/>
      <c r="D8" s="4"/>
      <c r="E8" s="4">
        <f t="shared" si="0"/>
        <v>0</v>
      </c>
      <c r="F8" s="4">
        <f t="shared" si="1"/>
        <v>0</v>
      </c>
      <c r="G8" s="4">
        <f>INT((B8/$G$2)-(E8*5+F8*2.5))</f>
        <v>0</v>
      </c>
      <c r="H8" s="4">
        <f t="shared" si="3"/>
        <v>0</v>
      </c>
      <c r="I8" s="4">
        <f t="shared" si="4"/>
        <v>0</v>
      </c>
      <c r="J8" s="4">
        <f t="shared" si="5"/>
        <v>0</v>
      </c>
      <c r="K8" s="4">
        <f t="shared" si="6"/>
        <v>0</v>
      </c>
      <c r="L8" s="4">
        <f t="shared" si="7"/>
        <v>0</v>
      </c>
      <c r="M8" s="4">
        <f t="shared" si="8"/>
        <v>0</v>
      </c>
      <c r="N8" s="4"/>
      <c r="O8" s="4"/>
      <c r="P8" s="4"/>
      <c r="Q8" s="4"/>
      <c r="R8" s="4"/>
      <c r="T8" t="str">
        <f t="shared" si="9"/>
        <v/>
      </c>
    </row>
    <row r="10" spans="1:20" x14ac:dyDescent="0.2">
      <c r="A10" s="2"/>
      <c r="B10" s="3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3"/>
    </row>
    <row r="11" spans="1:20" x14ac:dyDescent="0.2">
      <c r="A11" s="2"/>
      <c r="B11" s="3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3"/>
    </row>
  </sheetData>
  <mergeCells count="3">
    <mergeCell ref="C1:I1"/>
    <mergeCell ref="J1:K1"/>
    <mergeCell ref="L1:Q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Todos billetes</vt:lpstr>
      <vt:lpstr>Billetes 100 maximo</vt:lpstr>
      <vt:lpstr>Billetes 100 maximo (2)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</dc:creator>
  <cp:lastModifiedBy>programación</cp:lastModifiedBy>
  <dcterms:created xsi:type="dcterms:W3CDTF">2009-02-26T16:06:29Z</dcterms:created>
  <dcterms:modified xsi:type="dcterms:W3CDTF">2016-07-28T08:06:04Z</dcterms:modified>
</cp:coreProperties>
</file>